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8_{106EC625-6197-456D-8A64-F324D0EF3E05}" xr6:coauthVersionLast="43" xr6:coauthVersionMax="43" xr10:uidLastSave="{00000000-0000-0000-0000-000000000000}"/>
  <workbookProtection lockStructure="1"/>
  <bookViews>
    <workbookView xWindow="-120" yWindow="-120" windowWidth="20730" windowHeight="11160" xr2:uid="{00000000-000D-0000-FFFF-FFFF00000000}"/>
  </bookViews>
  <sheets>
    <sheet name="data" sheetId="1" r:id="rId1"/>
  </sheets>
  <definedNames>
    <definedName name="_xlnm._FilterDatabase" localSheetId="0" hidden="1">data!$A$1:$AG$5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6" i="1" l="1"/>
  <c r="AD5" i="1"/>
  <c r="AD4" i="1"/>
  <c r="AD3" i="1"/>
</calcChain>
</file>

<file path=xl/sharedStrings.xml><?xml version="1.0" encoding="utf-8"?>
<sst xmlns="http://schemas.openxmlformats.org/spreadsheetml/2006/main" count="132" uniqueCount="59">
  <si>
    <t>Child SL Id</t>
  </si>
  <si>
    <t>Master SL Id</t>
  </si>
  <si>
    <t>SLA ID</t>
  </si>
  <si>
    <t>Supplier</t>
  </si>
  <si>
    <t>Contract</t>
  </si>
  <si>
    <t>SLA Category</t>
  </si>
  <si>
    <t>SLA Sub-Category</t>
  </si>
  <si>
    <t>SLA Item</t>
  </si>
  <si>
    <t>Scope of Service 1</t>
  </si>
  <si>
    <t>Scope of Service 2</t>
  </si>
  <si>
    <t>Service Date</t>
  </si>
  <si>
    <t>Due Month</t>
  </si>
  <si>
    <t>Reporting Date</t>
  </si>
  <si>
    <t>Reporting Month</t>
  </si>
  <si>
    <t>Title</t>
  </si>
  <si>
    <t>Performance Status</t>
  </si>
  <si>
    <t>Minimum/Maximum?</t>
  </si>
  <si>
    <t>Expected</t>
  </si>
  <si>
    <t>Maximum</t>
  </si>
  <si>
    <t>Significantly Maximum</t>
  </si>
  <si>
    <t>Actual Numerator</t>
  </si>
  <si>
    <t>Actual Denominator</t>
  </si>
  <si>
    <t>Actual Performance</t>
  </si>
  <si>
    <t>Supplier Numerator</t>
  </si>
  <si>
    <t>Supplier Denominator</t>
  </si>
  <si>
    <t>Supplier Calculation</t>
  </si>
  <si>
    <t>Final Numerator</t>
  </si>
  <si>
    <t>Final Denominator</t>
  </si>
  <si>
    <t>Final Performance</t>
  </si>
  <si>
    <t>SL Met</t>
  </si>
  <si>
    <t>Comments</t>
  </si>
  <si>
    <t>Measurement Unit</t>
  </si>
  <si>
    <t>CSL03863</t>
  </si>
  <si>
    <t>SL02776</t>
  </si>
  <si>
    <t>sl automation flow</t>
  </si>
  <si>
    <t>API Automation Supplier for Child Entities Creation Test</t>
  </si>
  <si>
    <t>API Automation Contract for Service Level Creation Test</t>
  </si>
  <si>
    <t>CSAT</t>
  </si>
  <si>
    <t>Application Development</t>
  </si>
  <si>
    <t>2G</t>
  </si>
  <si>
    <t>01-Nov-2019 +05:30</t>
  </si>
  <si>
    <t>Nov-2019</t>
  </si>
  <si>
    <t>Upcoming</t>
  </si>
  <si>
    <t>Maximum - 3 level</t>
  </si>
  <si>
    <t>Percentage</t>
  </si>
  <si>
    <t>CSL03862</t>
  </si>
  <si>
    <t>01-Oct-2019 +05:30</t>
  </si>
  <si>
    <t>Oct-2019</t>
  </si>
  <si>
    <t>CSL03861</t>
  </si>
  <si>
    <t>01-Sep-2019 +05:30</t>
  </si>
  <si>
    <t>Sep-2019</t>
  </si>
  <si>
    <t>CSL03860</t>
  </si>
  <si>
    <t>01-Aug-2019 +05:30</t>
  </si>
  <si>
    <t>Aug-2019</t>
  </si>
  <si>
    <t>100</t>
  </si>
  <si>
    <t>10</t>
  </si>
  <si>
    <t>1000</t>
  </si>
  <si>
    <t>110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</si>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</sst>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\-mmm\-yyyy\ \z"/>
  </numFmts>
  <fonts count="4" x14ac:knownFonts="1">
    <font>
      <sz val="11"/>
      <color indexed="8"/>
      <name val="Calibri"/>
      <family val="2"/>
      <scheme val="minor"/>
    </font>
    <font>
      <sz val="11"/>
      <color indexed="0"/>
      <name val="Calibri"/>
    </font>
    <font>
      <sz val="11"/>
      <color indexed="0"/>
      <name val="Calibri"/>
    </font>
    <font>
      <sz val="11"/>
      <color indexed="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DDEBF7"/>
      </patternFill>
    </fill>
    <fill>
      <patternFill patternType="solid">
        <fgColor rgb="FFD9D9D9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1" xfId="0" applyNumberFormat="1" applyBorder="1"/>
    <xf numFmtId="0" fontId="1" fillId="2" borderId="1" xfId="0" applyFont="1" applyFill="1" applyBorder="1"/>
    <xf numFmtId="0" fontId="2" fillId="2" borderId="1" xfId="0" applyNumberFormat="1" applyFont="1" applyFill="1" applyBorder="1"/>
    <xf numFmtId="0" fontId="0" fillId="3" borderId="1" xfId="0" applyFill="1" applyBorder="1"/>
    <xf numFmtId="165" fontId="3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3"/>
  </sheetPr>
  <dimension ref="A1:AF6"/>
  <sheetViews>
    <sheetView tabSelected="1" workbookViewId="0"/>
  </sheetViews>
  <sheetFormatPr defaultRowHeight="15" x14ac:dyDescent="0.25"/>
  <cols>
    <col min="1" max="1" width="10.5703125" bestFit="1" customWidth="1" collapsed="1"/>
    <col min="2" max="2" width="12.140625" bestFit="1" customWidth="1" collapsed="1"/>
    <col min="3" max="3" width="17.85546875" bestFit="1" customWidth="1" collapsed="1"/>
    <col min="4" max="4" width="52" bestFit="1" customWidth="1" collapsed="1"/>
    <col min="5" max="5" width="52.42578125" bestFit="1" customWidth="1" collapsed="1"/>
    <col min="6" max="6" width="13.28515625" bestFit="1" customWidth="1" collapsed="1"/>
    <col min="7" max="7" width="17.42578125" bestFit="1" customWidth="1" collapsed="1"/>
    <col min="8" max="8" width="9.140625" bestFit="1" customWidth="1" collapsed="1"/>
    <col min="9" max="9" width="24.140625" bestFit="1" customWidth="1" collapsed="1"/>
    <col min="10" max="10" width="18" bestFit="1" customWidth="1" collapsed="1"/>
    <col min="11" max="11" width="20.28515625" bestFit="1" customWidth="1" collapsed="1"/>
    <col min="12" max="12" width="10.85546875" bestFit="1" customWidth="1" collapsed="1"/>
    <col min="13" max="13" width="20.28515625" bestFit="1" customWidth="1" collapsed="1"/>
    <col min="14" max="14" width="16.140625" bestFit="1" customWidth="1" collapsed="1"/>
    <col min="15" max="15" width="17.85546875" bestFit="1" customWidth="1" collapsed="1"/>
    <col min="16" max="16" width="19" bestFit="1" customWidth="1" collapsed="1"/>
    <col min="17" max="17" width="20" bestFit="1" customWidth="1" collapsed="1"/>
    <col min="18" max="18" width="9.42578125" bestFit="1" customWidth="1" collapsed="1"/>
    <col min="19" max="19" width="9.85546875" bestFit="1" customWidth="1" collapsed="1"/>
    <col min="20" max="20" width="21.85546875" bestFit="1" customWidth="1" collapsed="1"/>
    <col min="21" max="21" width="17.28515625" bestFit="1" customWidth="1" collapsed="1"/>
    <col min="22" max="22" width="19.42578125" bestFit="1" customWidth="1" collapsed="1"/>
    <col min="23" max="23" width="19.140625" bestFit="1" customWidth="1" collapsed="1"/>
    <col min="24" max="24" width="19" bestFit="1" customWidth="1" collapsed="1"/>
    <col min="25" max="25" width="21" bestFit="1" customWidth="1" collapsed="1"/>
    <col min="26" max="26" width="19.28515625" bestFit="1" customWidth="1" collapsed="1"/>
    <col min="27" max="27" width="15.7109375" bestFit="1" customWidth="1" collapsed="1"/>
    <col min="28" max="28" width="17.85546875" bestFit="1" customWidth="1" collapsed="1"/>
    <col min="29" max="29" width="17.5703125" bestFit="1" customWidth="1" collapsed="1"/>
    <col min="30" max="30" width="20" customWidth="1" collapsed="1"/>
  </cols>
  <sheetData>
    <row r="1" spans="1:32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</row>
    <row r="2" spans="1:32" hidden="1" x14ac:dyDescent="0.25">
      <c r="A2">
        <v>1172</v>
      </c>
      <c r="B2">
        <v>100001</v>
      </c>
      <c r="C2">
        <v>1126</v>
      </c>
      <c r="D2">
        <v>1129</v>
      </c>
      <c r="E2">
        <v>1130</v>
      </c>
      <c r="F2">
        <v>1131</v>
      </c>
      <c r="G2">
        <v>1132</v>
      </c>
      <c r="H2">
        <v>1133</v>
      </c>
      <c r="I2">
        <v>11714</v>
      </c>
      <c r="J2">
        <v>11715</v>
      </c>
      <c r="K2">
        <v>1158</v>
      </c>
      <c r="L2">
        <v>100002</v>
      </c>
      <c r="M2">
        <v>11701</v>
      </c>
      <c r="N2">
        <v>100004</v>
      </c>
      <c r="O2">
        <v>1127</v>
      </c>
      <c r="P2">
        <v>1134</v>
      </c>
      <c r="Q2">
        <v>1143</v>
      </c>
      <c r="R2">
        <v>1148</v>
      </c>
      <c r="S2">
        <v>1147</v>
      </c>
      <c r="T2">
        <v>1149</v>
      </c>
      <c r="U2">
        <v>1108</v>
      </c>
      <c r="V2">
        <v>1109</v>
      </c>
      <c r="W2">
        <v>1102</v>
      </c>
      <c r="X2">
        <v>1106</v>
      </c>
      <c r="Y2">
        <v>1107</v>
      </c>
      <c r="Z2">
        <v>1101</v>
      </c>
      <c r="AA2">
        <v>1110</v>
      </c>
      <c r="AB2">
        <v>1111</v>
      </c>
      <c r="AC2">
        <v>1103</v>
      </c>
      <c r="AD2">
        <v>1151</v>
      </c>
      <c r="AE2">
        <v>86</v>
      </c>
      <c r="AF2">
        <v>1144</v>
      </c>
    </row>
    <row r="3" spans="1:32" x14ac:dyDescent="0.25">
      <c r="A3" s="3" t="s">
        <v>32</v>
      </c>
      <c r="B3" s="3" t="s">
        <v>33</v>
      </c>
      <c r="C3" s="3" t="s">
        <v>34</v>
      </c>
      <c r="D3" s="3" t="s">
        <v>35</v>
      </c>
      <c r="E3" s="3" t="s">
        <v>36</v>
      </c>
      <c r="F3" s="3" t="s">
        <v>37</v>
      </c>
      <c r="G3" s="3"/>
      <c r="H3" s="3"/>
      <c r="I3" s="3" t="s">
        <v>38</v>
      </c>
      <c r="J3" s="3" t="s">
        <v>39</v>
      </c>
      <c r="K3" s="6" t="s">
        <v>40</v>
      </c>
      <c r="L3" s="3" t="s">
        <v>41</v>
      </c>
      <c r="M3" s="6" t="s">
        <v>40</v>
      </c>
      <c r="N3" s="3" t="s">
        <v>41</v>
      </c>
      <c r="O3" s="3" t="s">
        <v>34</v>
      </c>
      <c r="P3" s="3" t="s">
        <v>42</v>
      </c>
      <c r="Q3" s="3" t="s">
        <v>43</v>
      </c>
      <c r="R3" s="4">
        <v>80</v>
      </c>
      <c r="S3" s="4">
        <v>110</v>
      </c>
      <c r="T3" s="4">
        <v>120</v>
      </c>
      <c r="U3" s="2" t="s">
        <v>54</v>
      </c>
      <c r="V3" s="2" t="s">
        <v>55</v>
      </c>
      <c r="W3" s="2" t="s">
        <v>56</v>
      </c>
      <c r="X3" s="2" t="s">
        <v>54</v>
      </c>
      <c r="Y3" s="2" t="s">
        <v>56</v>
      </c>
      <c r="Z3" s="2" t="s">
        <v>55</v>
      </c>
      <c r="AA3" s="2" t="s">
        <v>55</v>
      </c>
      <c r="AB3" s="2" t="s">
        <v>54</v>
      </c>
      <c r="AC3" s="2" t="s">
        <v>54</v>
      </c>
      <c r="AD3" s="1" t="str">
        <f>IF(OR(ISBLANK(Q3),ISBLANK(R3),ISBLANK(AC3)),"",IF(Q3="Minimum - 2 level",IF(AC3&gt;=R3,"Met Expected",IF(AND(AC3&lt;R3,AC3&gt;=S3),"Met Minimum","Not Met")),IF(Q3="Maximum - 2 level",IF(AC3&lt;=R3,"Met Expected",IF(AND(AC3&gt;R3,AC3&lt;=S3),"Met Minimum","Not Met")),IF(Q3="Minimum",IF(AC3&gt;=R3,"Met Expected",IF(AND(AC3&lt;R3,AC3&gt;=S3),"Met Minimum","Not Met")),IF(Q3="Maximum",IF(AC3&lt;=R3,"Met Expected",IF(AND(AC3&gt;R3,AC3&lt;=S3),"Met Minimum","Not Met")),IF(Q3="Minimum - 3 level",IF(AC3&gt;=R3,"Met Expected",IF(AND(AC3&lt;R3,AC3&gt;=S3),"Met Minimum",IF(AND(AC3&lt;S3,AC3&gt;=T3),"Met Significantly Minimum","Not Met"))),IF(Q3="Maximum - 3 level",IF(AC3&lt;=R3,"Met Expected",IF(AND(AC3&gt;R3,AC3&lt;=S3),"Met Minimum",IF(AND(AC3&gt;S3,AC3&lt;=T3),"Met Significantly Minimum","Not Met"))),IF(Q3="Minimum - 1 level",IF(AC3&gt;=R3,"Met Expected","Not Met"),IF(Q3="Maximum - 1 level",IF(AC3&lt;=R3,"Met Expected","Not Met"))))))))))</f>
        <v>Not Met</v>
      </c>
      <c r="AE3" s="1"/>
      <c r="AF3" s="3" t="s">
        <v>44</v>
      </c>
    </row>
    <row r="4" spans="1:32" x14ac:dyDescent="0.25">
      <c r="A4" s="3" t="s">
        <v>45</v>
      </c>
      <c r="B4" s="3" t="s">
        <v>33</v>
      </c>
      <c r="C4" s="3" t="s">
        <v>34</v>
      </c>
      <c r="D4" s="3" t="s">
        <v>35</v>
      </c>
      <c r="E4" s="3" t="s">
        <v>36</v>
      </c>
      <c r="F4" s="3" t="s">
        <v>37</v>
      </c>
      <c r="G4" s="3"/>
      <c r="H4" s="3"/>
      <c r="I4" s="3" t="s">
        <v>38</v>
      </c>
      <c r="J4" s="3" t="s">
        <v>39</v>
      </c>
      <c r="K4" s="6" t="s">
        <v>46</v>
      </c>
      <c r="L4" s="3" t="s">
        <v>47</v>
      </c>
      <c r="M4" s="6" t="s">
        <v>46</v>
      </c>
      <c r="N4" s="3" t="s">
        <v>47</v>
      </c>
      <c r="O4" s="3" t="s">
        <v>34</v>
      </c>
      <c r="P4" s="3" t="s">
        <v>42</v>
      </c>
      <c r="Q4" s="3" t="s">
        <v>43</v>
      </c>
      <c r="R4" s="4">
        <v>80</v>
      </c>
      <c r="S4" s="4">
        <v>110</v>
      </c>
      <c r="T4" s="4">
        <v>120</v>
      </c>
      <c r="U4" s="2" t="s">
        <v>54</v>
      </c>
      <c r="V4" s="2" t="s">
        <v>55</v>
      </c>
      <c r="W4" s="2" t="s">
        <v>56</v>
      </c>
      <c r="X4" s="2" t="s">
        <v>54</v>
      </c>
      <c r="Y4" s="2" t="s">
        <v>56</v>
      </c>
      <c r="Z4" s="2" t="s">
        <v>55</v>
      </c>
      <c r="AA4" s="2" t="s">
        <v>55</v>
      </c>
      <c r="AB4" s="2" t="s">
        <v>57</v>
      </c>
      <c r="AC4" s="2" t="s">
        <v>55</v>
      </c>
      <c r="AD4" s="1" t="str">
        <f>IF(OR(ISBLANK(Q4),ISBLANK(R4),ISBLANK(AC4)),"",IF(Q4="Minimum - 2 level",IF(AC4&gt;=R4,"Met Expected",IF(AND(AC4&lt;R4,AC4&gt;=S4),"Met Minimum","Not Met")),IF(Q4="Maximum - 2 level",IF(AC4&lt;=R4,"Met Expected",IF(AND(AC4&gt;R4,AC4&lt;=S4),"Met Minimum","Not Met")),IF(Q4="Minimum",IF(AC4&gt;=R4,"Met Expected",IF(AND(AC4&lt;R4,AC4&gt;=S4),"Met Minimum","Not Met")),IF(Q4="Maximum",IF(AC4&lt;=R4,"Met Expected",IF(AND(AC4&gt;R4,AC4&lt;=S4),"Met Minimum","Not Met")),IF(Q4="Minimum - 3 level",IF(AC4&gt;=R4,"Met Expected",IF(AND(AC4&lt;R4,AC4&gt;=S4),"Met Minimum",IF(AND(AC4&lt;S4,AC4&gt;=T4),"Met Significantly Minimum","Not Met"))),IF(Q4="Maximum - 3 level",IF(AC4&lt;=R4,"Met Expected",IF(AND(AC4&gt;R4,AC4&lt;=S4),"Met Minimum",IF(AND(AC4&gt;S4,AC4&lt;=T4),"Met Significantly Minimum","Not Met"))),IF(Q4="Minimum - 1 level",IF(AC4&gt;=R4,"Met Expected","Not Met"),IF(Q4="Maximum - 1 level",IF(AC4&lt;=R4,"Met Expected","Not Met"))))))))))</f>
        <v>Not Met</v>
      </c>
      <c r="AE4" s="1"/>
      <c r="AF4" s="3" t="s">
        <v>44</v>
      </c>
    </row>
    <row r="5" spans="1:32" x14ac:dyDescent="0.25">
      <c r="A5" s="3" t="s">
        <v>48</v>
      </c>
      <c r="B5" s="3" t="s">
        <v>33</v>
      </c>
      <c r="C5" s="3" t="s">
        <v>34</v>
      </c>
      <c r="D5" s="3" t="s">
        <v>35</v>
      </c>
      <c r="E5" s="3" t="s">
        <v>36</v>
      </c>
      <c r="F5" s="3" t="s">
        <v>37</v>
      </c>
      <c r="G5" s="3"/>
      <c r="H5" s="3"/>
      <c r="I5" s="3" t="s">
        <v>38</v>
      </c>
      <c r="J5" s="3" t="s">
        <v>39</v>
      </c>
      <c r="K5" s="6" t="s">
        <v>49</v>
      </c>
      <c r="L5" s="3" t="s">
        <v>50</v>
      </c>
      <c r="M5" s="6" t="s">
        <v>49</v>
      </c>
      <c r="N5" s="3" t="s">
        <v>50</v>
      </c>
      <c r="O5" s="3" t="s">
        <v>34</v>
      </c>
      <c r="P5" s="3" t="s">
        <v>42</v>
      </c>
      <c r="Q5" s="3" t="s">
        <v>43</v>
      </c>
      <c r="R5" s="4">
        <v>80</v>
      </c>
      <c r="S5" s="4">
        <v>110</v>
      </c>
      <c r="T5" s="4">
        <v>120</v>
      </c>
      <c r="U5" s="2" t="s">
        <v>54</v>
      </c>
      <c r="V5" s="2" t="s">
        <v>55</v>
      </c>
      <c r="W5" s="2" t="s">
        <v>56</v>
      </c>
      <c r="X5" s="2" t="s">
        <v>54</v>
      </c>
      <c r="Y5" s="2" t="s">
        <v>56</v>
      </c>
      <c r="Z5" s="2" t="s">
        <v>55</v>
      </c>
      <c r="AA5" s="2" t="s">
        <v>55</v>
      </c>
      <c r="AB5" s="2" t="s">
        <v>55</v>
      </c>
      <c r="AC5" s="2" t="s">
        <v>58</v>
      </c>
      <c r="AD5" s="1" t="str">
        <f>IF(OR(ISBLANK(Q5),ISBLANK(R5),ISBLANK(AC5)),"",IF(Q5="Minimum - 2 level",IF(AC5&gt;=R5,"Met Expected",IF(AND(AC5&lt;R5,AC5&gt;=S5),"Met Minimum","Not Met")),IF(Q5="Maximum - 2 level",IF(AC5&lt;=R5,"Met Expected",IF(AND(AC5&gt;R5,AC5&lt;=S5),"Met Minimum","Not Met")),IF(Q5="Minimum",IF(AC5&gt;=R5,"Met Expected",IF(AND(AC5&lt;R5,AC5&gt;=S5),"Met Minimum","Not Met")),IF(Q5="Maximum",IF(AC5&lt;=R5,"Met Expected",IF(AND(AC5&gt;R5,AC5&lt;=S5),"Met Minimum","Not Met")),IF(Q5="Minimum - 3 level",IF(AC5&gt;=R5,"Met Expected",IF(AND(AC5&lt;R5,AC5&gt;=S5),"Met Minimum",IF(AND(AC5&lt;S5,AC5&gt;=T5),"Met Significantly Minimum","Not Met"))),IF(Q5="Maximum - 3 level",IF(AC5&lt;=R5,"Met Expected",IF(AND(AC5&gt;R5,AC5&lt;=S5),"Met Minimum",IF(AND(AC5&gt;S5,AC5&lt;=T5),"Met Significantly Minimum","Not Met"))),IF(Q5="Minimum - 1 level",IF(AC5&gt;=R5,"Met Expected","Not Met"),IF(Q5="Maximum - 1 level",IF(AC5&lt;=R5,"Met Expected","Not Met"))))))))))</f>
        <v>Not Met</v>
      </c>
      <c r="AE5" s="1"/>
      <c r="AF5" s="3" t="s">
        <v>44</v>
      </c>
    </row>
    <row r="6" spans="1:32" x14ac:dyDescent="0.25">
      <c r="A6" s="3" t="s">
        <v>51</v>
      </c>
      <c r="B6" s="3" t="s">
        <v>33</v>
      </c>
      <c r="C6" s="3" t="s">
        <v>34</v>
      </c>
      <c r="D6" s="3" t="s">
        <v>35</v>
      </c>
      <c r="E6" s="3" t="s">
        <v>36</v>
      </c>
      <c r="F6" s="3" t="s">
        <v>37</v>
      </c>
      <c r="G6" s="3"/>
      <c r="H6" s="3"/>
      <c r="I6" s="3" t="s">
        <v>38</v>
      </c>
      <c r="J6" s="3" t="s">
        <v>39</v>
      </c>
      <c r="K6" s="6" t="s">
        <v>52</v>
      </c>
      <c r="L6" s="3" t="s">
        <v>53</v>
      </c>
      <c r="M6" s="6" t="s">
        <v>52</v>
      </c>
      <c r="N6" s="3" t="s">
        <v>53</v>
      </c>
      <c r="O6" s="3" t="s">
        <v>34</v>
      </c>
      <c r="P6" s="3" t="s">
        <v>42</v>
      </c>
      <c r="Q6" s="3" t="s">
        <v>43</v>
      </c>
      <c r="R6" s="4">
        <v>80</v>
      </c>
      <c r="S6" s="4">
        <v>110</v>
      </c>
      <c r="T6" s="4">
        <v>120</v>
      </c>
      <c r="U6" s="2" t="s">
        <v>54</v>
      </c>
      <c r="V6" s="2" t="s">
        <v>55</v>
      </c>
      <c r="W6" s="2" t="s">
        <v>56</v>
      </c>
      <c r="X6" s="2" t="s">
        <v>54</v>
      </c>
      <c r="Y6" s="2" t="s">
        <v>56</v>
      </c>
      <c r="Z6" s="2" t="s">
        <v>55</v>
      </c>
      <c r="AA6" s="2" t="s">
        <v>55</v>
      </c>
      <c r="AB6" s="2" t="s">
        <v>55</v>
      </c>
      <c r="AC6" s="2" t="s">
        <v>55</v>
      </c>
      <c r="AD6" s="1" t="str">
        <f>IF(OR(ISBLANK(Q6),ISBLANK(R6),ISBLANK(AC6)),"",IF(Q6="Minimum - 2 level",IF(AC6&gt;=R6,"Met Expected",IF(AND(AC6&lt;R6,AC6&gt;=S6),"Met Minimum","Not Met")),IF(Q6="Maximum - 2 level",IF(AC6&lt;=R6,"Met Expected",IF(AND(AC6&gt;R6,AC6&lt;=S6),"Met Minimum","Not Met")),IF(Q6="Minimum",IF(AC6&gt;=R6,"Met Expected",IF(AND(AC6&lt;R6,AC6&gt;=S6),"Met Minimum","Not Met")),IF(Q6="Maximum",IF(AC6&lt;=R6,"Met Expected",IF(AND(AC6&gt;R6,AC6&lt;=S6),"Met Minimum","Not Met")),IF(Q6="Minimum - 3 level",IF(AC6&gt;=R6,"Met Expected",IF(AND(AC6&lt;R6,AC6&gt;=S6),"Met Minimum",IF(AND(AC6&lt;S6,AC6&gt;=T6),"Met Significantly Minimum","Not Met"))),IF(Q6="Maximum - 3 level",IF(AC6&lt;=R6,"Met Expected",IF(AND(AC6&gt;R6,AC6&lt;=S6),"Met Minimum",IF(AND(AC6&gt;S6,AC6&lt;=T6),"Met Significantly Minimum","Not Met"))),IF(Q6="Minimum - 1 level",IF(AC6&gt;=R6,"Met Expected","Not Met"),IF(Q6="Maximum - 1 level",IF(AC6&lt;=R6,"Met Expected","Not Met"))))))))))</f>
        <v>Not Met</v>
      </c>
      <c r="AE6" s="1"/>
      <c r="AF6" s="3" t="s">
        <v>44</v>
      </c>
    </row>
  </sheetData>
  <sheetProtection formatColumns="0" autoFilter="0"/>
  <autoFilter ref="A1:AG5" xr:uid="{00000000-0009-0000-0000-000000000000}"/>
  <dataValidations count="2">
    <dataValidation type="list" allowBlank="1" showErrorMessage="1" sqref="AD2:AD6" xr:uid="{00000000-0002-0000-0000-000000000000}">
      <formula1>"Met Expected,Met Minimum,Met Significantly Minimum,Not Met,Low Volume,No Data Available,Not Reported,Work In Progress,Not Applicable"</formula1>
    </dataValidation>
    <dataValidation type="decimal" allowBlank="1" showErrorMessage="1" errorTitle="Error" error="Only numeric values between -99999999999 and 99999999999 are allowed" sqref="P2:AB7" xr:uid="{00000000-0002-0000-0000-000001000000}">
      <formula1>-99999999999</formula1>
      <formula2>99999999999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XLSX Metadata Example Apache POI </dc:title>
  <dc:subject>Code</dc:subject>
  <dc:creator>Sirion</dc:creator>
  <cp:keywords>Apache POI, Metadata, Java, Example Program, XLSX </cp:keywords>
  <dc:description>set Metadata using Apache POI / Java</dc:description>
  <cp:lastModifiedBy>Gaurav Bhadani</cp:lastModifiedBy>
  <dcterms:created xsi:type="dcterms:W3CDTF">2019-06-11T14:05:19Z</dcterms:created>
  <dcterms:modified xsi:type="dcterms:W3CDTF">2019-06-19T12:08:48Z</dcterms:modified>
  <cp:category>Programming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hor">
    <vt:lpwstr>Sirion</vt:lpwstr>
  </property>
</Properties>
</file>